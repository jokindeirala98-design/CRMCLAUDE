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4560" windowHeight="21680" tabRatio="600" firstSheet="0" activeTab="0" autoFilterDateGrouping="1"/>
  </bookViews>
  <sheets>
    <sheet xmlns:r="http://schemas.openxmlformats.org/officeDocument/2006/relationships" name="Hoja1 (2)" sheetId="1" state="visible" r:id="rId1"/>
  </sheets>
  <definedNames>
    <definedName name="_xlnm.Print_Area" localSheetId="0">'Hoja1 (2)'!$A$1:$N$41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\ &quot;€&quot;_-;\-* #,##0.00\ &quot;€&quot;_-;_-* &quot;-&quot;??\ &quot;€&quot;_-;_-@_-"/>
    <numFmt numFmtId="165" formatCode="_-* #,##0.00000\ &quot;€&quot;_-;\-* #,##0.00000\ &quot;€&quot;_-;_-* &quot;-&quot;??\ &quot;€&quot;_-;_-@_-"/>
    <numFmt numFmtId="166" formatCode="_-* #,##0.0000\ &quot;€&quot;_-;\-* #,##0.0000\ &quot;€&quot;_-;_-* &quot;-&quot;??\ &quot;€&quot;_-;_-@_-"/>
  </numFmts>
  <fonts count="9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20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color rgb="FF00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6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2" fillId="0" borderId="0"/>
    <xf numFmtId="44" fontId="2" fillId="0" borderId="0"/>
    <xf numFmtId="9" fontId="2" fillId="0" borderId="0"/>
  </cellStyleXfs>
  <cellXfs count="68">
    <xf numFmtId="0" fontId="0" fillId="0" borderId="0" pivotButton="0" quotePrefix="0" xfId="0"/>
    <xf numFmtId="164" fontId="3" fillId="2" borderId="1" applyAlignment="1" pivotButton="0" quotePrefix="0" xfId="1">
      <alignment vertical="center"/>
    </xf>
    <xf numFmtId="164" fontId="1" fillId="2" borderId="2" applyAlignment="1" pivotButton="0" quotePrefix="0" xfId="1">
      <alignment vertical="center"/>
    </xf>
    <xf numFmtId="0" fontId="3" fillId="2" borderId="3" applyAlignment="1" pivotButton="0" quotePrefix="0" xfId="0">
      <alignment horizontal="center" vertical="center"/>
    </xf>
    <xf numFmtId="0" fontId="3" fillId="2" borderId="4" pivotButton="0" quotePrefix="0" xfId="0"/>
    <xf numFmtId="0" fontId="0" fillId="0" borderId="1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164" fontId="0" fillId="0" borderId="5" applyAlignment="1" pivotButton="0" quotePrefix="0" xfId="0">
      <alignment horizontal="center" vertical="center"/>
    </xf>
    <xf numFmtId="165" fontId="0" fillId="0" borderId="5" applyAlignment="1" pivotButton="0" quotePrefix="0" xfId="0">
      <alignment horizontal="center" vertical="center"/>
    </xf>
    <xf numFmtId="0" fontId="0" fillId="0" borderId="6" pivotButton="0" quotePrefix="0" xfId="0"/>
    <xf numFmtId="164" fontId="0" fillId="0" borderId="7" applyAlignment="1" pivotButton="0" quotePrefix="0" xfId="1">
      <alignment horizontal="center" vertical="center"/>
    </xf>
    <xf numFmtId="166" fontId="0" fillId="0" borderId="7" applyAlignment="1" pivotButton="0" quotePrefix="0" xfId="0">
      <alignment horizontal="center" vertical="center"/>
    </xf>
    <xf numFmtId="2" fontId="0" fillId="0" borderId="7" applyAlignment="1" pivotButton="0" quotePrefix="0" xfId="0">
      <alignment horizontal="center" vertical="center"/>
    </xf>
    <xf numFmtId="0" fontId="0" fillId="0" borderId="8" pivotButton="0" quotePrefix="0" xfId="0"/>
    <xf numFmtId="10" fontId="0" fillId="0" borderId="6" pivotButton="0" quotePrefix="0" xfId="0"/>
    <xf numFmtId="165" fontId="0" fillId="0" borderId="7" applyAlignment="1" pivotButton="0" quotePrefix="0" xfId="0">
      <alignment horizontal="center" vertical="center"/>
    </xf>
    <xf numFmtId="10" fontId="0" fillId="3" borderId="9" pivotButton="0" quotePrefix="0" xfId="2"/>
    <xf numFmtId="0" fontId="0" fillId="0" borderId="10" pivotButton="0" quotePrefix="0" xfId="0"/>
    <xf numFmtId="0" fontId="0" fillId="4" borderId="10" applyAlignment="1" pivotButton="0" quotePrefix="0" xfId="0">
      <alignment horizontal="center" vertical="center"/>
    </xf>
    <xf numFmtId="2" fontId="0" fillId="0" borderId="10" pivotButton="0" quotePrefix="0" xfId="0"/>
    <xf numFmtId="0" fontId="0" fillId="0" borderId="3" pivotButton="0" quotePrefix="0" xfId="0"/>
    <xf numFmtId="0" fontId="0" fillId="0" borderId="11" pivotButton="0" quotePrefix="0" xfId="0"/>
    <xf numFmtId="0" fontId="4" fillId="5" borderId="4" pivotButton="0" quotePrefix="0" xfId="0"/>
    <xf numFmtId="0" fontId="4" fillId="6" borderId="7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164" fontId="0" fillId="0" borderId="0" pivotButton="0" quotePrefix="0" xfId="1"/>
    <xf numFmtId="164" fontId="0" fillId="0" borderId="0" pivotButton="0" quotePrefix="0" xfId="0"/>
    <xf numFmtId="0" fontId="0" fillId="0" borderId="0" applyAlignment="1" pivotButton="0" quotePrefix="0" xfId="0">
      <alignment horizontal="right"/>
    </xf>
    <xf numFmtId="164" fontId="1" fillId="8" borderId="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/>
    </xf>
    <xf numFmtId="164" fontId="6" fillId="2" borderId="14" applyAlignment="1" pivotButton="0" quotePrefix="0" xfId="1">
      <alignment horizontal="center" vertical="center"/>
    </xf>
    <xf numFmtId="164" fontId="1" fillId="8" borderId="0" pivotButton="0" quotePrefix="0" xfId="0"/>
    <xf numFmtId="0" fontId="4" fillId="0" borderId="0" pivotButton="0" quotePrefix="0" xfId="0"/>
    <xf numFmtId="164" fontId="1" fillId="8" borderId="0" pivotButton="0" quotePrefix="0" xfId="1"/>
    <xf numFmtId="0" fontId="0" fillId="0" borderId="0" applyAlignment="1" pivotButton="0" quotePrefix="0" xfId="0">
      <alignment horizontal="center"/>
    </xf>
    <xf numFmtId="0" fontId="4" fillId="9" borderId="4" pivotButton="0" quotePrefix="0" xfId="0"/>
    <xf numFmtId="0" fontId="0" fillId="0" borderId="4" pivotButton="0" quotePrefix="0" xfId="0"/>
    <xf numFmtId="0" fontId="8" fillId="0" borderId="0" pivotButton="0" quotePrefix="0" xfId="0"/>
    <xf numFmtId="0" fontId="8" fillId="0" borderId="6" pivotButton="0" quotePrefix="0" xfId="0"/>
    <xf numFmtId="0" fontId="8" fillId="0" borderId="5" pivotButton="0" quotePrefix="0" xfId="0"/>
    <xf numFmtId="0" fontId="8" fillId="0" borderId="1" pivotButton="0" quotePrefix="0" xfId="0"/>
    <xf numFmtId="0" fontId="7" fillId="0" borderId="14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5" fillId="2" borderId="14" applyAlignment="1" pivotButton="0" quotePrefix="0" xfId="0">
      <alignment horizontal="center"/>
    </xf>
    <xf numFmtId="0" fontId="5" fillId="2" borderId="12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164" fontId="0" fillId="0" borderId="0" pivotButton="0" quotePrefix="0" xfId="1"/>
    <xf numFmtId="164" fontId="0" fillId="0" borderId="0" pivotButton="0" quotePrefix="0" xfId="0"/>
    <xf numFmtId="164" fontId="1" fillId="8" borderId="0" pivotButton="0" quotePrefix="0" xfId="1"/>
    <xf numFmtId="164" fontId="1" fillId="8" borderId="0" pivotButton="0" quotePrefix="0" xfId="0"/>
    <xf numFmtId="0" fontId="5" fillId="2" borderId="7" applyAlignment="1" pivotButton="0" quotePrefix="0" xfId="0">
      <alignment horizontal="center"/>
    </xf>
    <xf numFmtId="164" fontId="6" fillId="2" borderId="14" applyAlignment="1" pivotButton="0" quotePrefix="0" xfId="1">
      <alignment horizontal="center" vertical="center"/>
    </xf>
    <xf numFmtId="164" fontId="1" fillId="8" borderId="0" applyAlignment="1" pivotButton="0" quotePrefix="0" xfId="0">
      <alignment horizontal="center" vertical="center"/>
    </xf>
    <xf numFmtId="165" fontId="0" fillId="0" borderId="7" applyAlignment="1" pivotButton="0" quotePrefix="0" xfId="0">
      <alignment horizontal="center" vertical="center"/>
    </xf>
    <xf numFmtId="164" fontId="0" fillId="0" borderId="7" applyAlignment="1" pivotButton="0" quotePrefix="0" xfId="1">
      <alignment horizontal="center" vertical="center"/>
    </xf>
    <xf numFmtId="166" fontId="0" fillId="0" borderId="7" applyAlignment="1" pivotButton="0" quotePrefix="0" xfId="0">
      <alignment horizontal="center" vertical="center"/>
    </xf>
    <xf numFmtId="165" fontId="0" fillId="0" borderId="5" applyAlignment="1" pivotButton="0" quotePrefix="0" xfId="0">
      <alignment horizontal="center" vertical="center"/>
    </xf>
    <xf numFmtId="164" fontId="0" fillId="0" borderId="5" applyAlignment="1" pivotButton="0" quotePrefix="0" xfId="0">
      <alignment horizontal="center" vertical="center"/>
    </xf>
    <xf numFmtId="164" fontId="1" fillId="2" borderId="2" applyAlignment="1" pivotButton="0" quotePrefix="0" xfId="1">
      <alignment vertical="center"/>
    </xf>
    <xf numFmtId="164" fontId="3" fillId="2" borderId="1" applyAlignment="1" pivotButton="0" quotePrefix="0" xfId="1">
      <alignment vertical="center"/>
    </xf>
  </cellXfs>
  <cellStyles count="3">
    <cellStyle name="Normal" xfId="0" builtinId="0"/>
    <cellStyle name="Moneda" xfId="1" builtinId="4"/>
    <cellStyle name="Porcentaje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jpe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drawing1.xml><?xml version="1.0" encoding="utf-8"?>
<wsDr xmlns="http://schemas.openxmlformats.org/drawingml/2006/spreadsheetDrawing">
  <twoCellAnchor editAs="oneCell">
    <from>
      <col>19</col>
      <colOff>520154</colOff>
      <row>54</row>
      <rowOff>31451</rowOff>
    </from>
    <to>
      <col>22</col>
      <colOff>503221</colOff>
      <row>62</row>
      <rowOff>63499</rowOff>
    </to>
    <pic>
      <nvPicPr>
        <cNvPr id="16" name="Imagen 1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20398415" y="10964494"/>
          <a:ext cx="2467849" cy="150451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15</col>
      <colOff>671465</colOff>
      <row>65</row>
      <rowOff>27988</rowOff>
    </from>
    <to>
      <col>19</col>
      <colOff>249360</colOff>
      <row>70</row>
      <rowOff>4588</rowOff>
    </to>
    <pic>
      <nvPicPr>
        <cNvPr id="4" name="Imagen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17168765" y="13274088"/>
          <a:ext cx="3095795" cy="929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19</col>
      <colOff>553591</colOff>
      <row>62</row>
      <rowOff>184531</rowOff>
    </from>
    <to>
      <col>22</col>
      <colOff>617090</colOff>
      <row>68</row>
      <rowOff>65129</rowOff>
    </to>
    <pic>
      <nvPicPr>
        <cNvPr id="15" name="Imagen 14" descr="Ekyner | LinkedIn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9"/>
        <a:srcRect xmlns:a="http://schemas.openxmlformats.org/drawingml/2006/main" t="31269" b="2828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547950" y="13090770"/>
          <a:ext cx="2538371" cy="105290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22</row>
      <rowOff>10855</rowOff>
    </from>
    <to>
      <col>7</col>
      <colOff>0</colOff>
      <row>24</row>
      <rowOff>153748</rowOff>
    </to>
    <pic>
      <nvPicPr>
        <cNvPr id="19" name="Imagen 1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0" y="4613248"/>
          <a:ext cx="7641709" cy="6747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15</col>
      <colOff>659191</colOff>
      <row>49</row>
      <rowOff>103027</rowOff>
    </from>
    <to>
      <col>18</col>
      <colOff>906516</colOff>
      <row>54</row>
      <rowOff>153275</rowOff>
    </to>
    <pic>
      <nvPicPr>
        <cNvPr id="18" name="Imagen 1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17191088" y="10394406"/>
          <a:ext cx="2831118" cy="10355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</col>
      <colOff>745067</colOff>
      <row>5</row>
      <rowOff>130987</rowOff>
    </from>
    <to>
      <col>4</col>
      <colOff>762000</colOff>
      <row>9</row>
      <rowOff>101047</rowOff>
    </to>
    <pic>
      <nvPicPr>
        <cNvPr id="20" name="Imagen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2709334" y="1316320"/>
          <a:ext cx="2116666" cy="73206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6</col>
      <colOff>373643</colOff>
      <row>0</row>
      <rowOff>0</rowOff>
    </from>
    <ext cx="1907264" cy="1872575"/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326643" y="0"/>
          <a:ext cx="1907264" cy="18725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10</col>
      <colOff>397566</colOff>
      <row>3</row>
      <rowOff>143980</rowOff>
    </from>
    <ext cx="2401156" cy="1111026"/>
    <pic>
      <nvPicPr>
        <cNvPr id="3" name="Imagen 2" descr="Home | Axpo España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652566" y="715480"/>
          <a:ext cx="2401156" cy="11110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15</col>
      <colOff>663222</colOff>
      <row>37</row>
      <rowOff>0</rowOff>
    </from>
    <ext cx="2322154" cy="1195630"/>
    <pic>
      <nvPicPr>
        <cNvPr id="5" name="Imagen 4" descr="Home | Axpo España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7025976" y="7656812"/>
          <a:ext cx="2322154" cy="119563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oneCellAnchor>
  <oneCellAnchor>
    <from>
      <col>19</col>
      <colOff>520154</colOff>
      <row>37</row>
      <rowOff>4855</rowOff>
    </from>
    <ext cx="2152556" cy="1142066"/>
    <pic>
      <nvPicPr>
        <cNvPr id="8" name="Imagen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20398415" y="7661667"/>
          <a:ext cx="2152556" cy="114206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</col>
      <colOff>685119</colOff>
      <row>55</row>
      <rowOff>79802</rowOff>
    </from>
    <ext cx="2363649" cy="803939"/>
    <pic>
      <nvPicPr>
        <cNvPr id="9" name="Imagen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17182419" y="11420902"/>
          <a:ext cx="2363649" cy="8039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15</col>
      <colOff>685119</colOff>
      <row>60</row>
      <rowOff>41316</rowOff>
    </from>
    <ext cx="2531534" cy="839902"/>
    <pic>
      <nvPicPr>
        <cNvPr id="12" name="Imagen 1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6"/>
        <a:srcRect xmlns:a="http://schemas.openxmlformats.org/drawingml/2006/main" r="4762" b="17918"/>
        <a:stretch xmlns:a="http://schemas.openxmlformats.org/drawingml/2006/main">
          <a:fillRect/>
        </a:stretch>
      </blipFill>
      <spPr>
        <a:xfrm xmlns:a="http://schemas.openxmlformats.org/drawingml/2006/main">
          <a:off x="17182419" y="12334916"/>
          <a:ext cx="2531534" cy="83990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tabSelected="1" view="pageBreakPreview" zoomScale="56" zoomScaleNormal="150" zoomScaleSheetLayoutView="234" workbookViewId="0">
      <selection activeCell="L39" sqref="L39"/>
    </sheetView>
  </sheetViews>
  <sheetFormatPr baseColWidth="10" defaultRowHeight="15"/>
  <cols>
    <col width="14.83203125" customWidth="1" min="1" max="1"/>
    <col width="13.1640625" customWidth="1" min="3" max="3"/>
    <col width="14.5" customWidth="1" min="4" max="4"/>
    <col width="19" customWidth="1" min="6" max="6"/>
    <col width="17.1640625" customWidth="1" min="7" max="7"/>
    <col width="17.6640625" bestFit="1" customWidth="1" min="8" max="8"/>
    <col width="13.1640625" bestFit="1" customWidth="1" min="9" max="9"/>
    <col width="21.5" customWidth="1" min="11" max="11"/>
    <col width="13.1640625" customWidth="1" min="12" max="13"/>
    <col width="15.83203125" customWidth="1" min="14" max="14"/>
    <col width="12.1640625" customWidth="1" min="17" max="17"/>
    <col width="12.33203125" bestFit="1" customWidth="1" min="19" max="19"/>
  </cols>
  <sheetData>
    <row r="1" ht="23" customHeight="1" thickBot="1">
      <c r="A1" s="53" t="inlineStr">
        <is>
          <t>COMPARATIVO POTENCIA Y ENERGÍA</t>
        </is>
      </c>
      <c r="B1" s="28" t="n"/>
      <c r="C1" s="28" t="n"/>
      <c r="D1" s="28" t="n"/>
      <c r="E1" s="27" t="n"/>
    </row>
    <row r="2" ht="25" customHeight="1" thickBot="1">
      <c r="A2" s="52" t="n"/>
      <c r="B2" s="23" t="n"/>
      <c r="C2" s="23" t="n"/>
    </row>
    <row r="3" ht="16" customHeight="1" thickBot="1">
      <c r="A3" s="37" t="inlineStr">
        <is>
          <t>CUPS:</t>
        </is>
      </c>
      <c r="B3" s="49" t="n"/>
      <c r="Q3" s="41" t="inlineStr">
        <is>
          <t>TARIFA 6.1TD</t>
        </is>
      </c>
      <c r="R3" s="23" t="n"/>
      <c r="S3" s="22" t="n"/>
    </row>
    <row r="4">
      <c r="A4" s="37" t="n"/>
      <c r="Q4" s="40" t="inlineStr">
        <is>
          <t>BOE 2025</t>
        </is>
      </c>
      <c r="R4" s="23" t="n"/>
      <c r="S4" s="22" t="n"/>
    </row>
    <row r="5">
      <c r="A5" s="37" t="n"/>
      <c r="Q5" s="15" t="inlineStr">
        <is>
          <t>p1</t>
        </is>
      </c>
      <c r="R5" t="n">
        <v>0.07888191780821917</v>
      </c>
      <c r="S5" s="11">
        <f>R5*365</f>
        <v/>
      </c>
    </row>
    <row r="6">
      <c r="A6" s="37" t="n"/>
      <c r="Q6" s="15" t="inlineStr">
        <is>
          <t>p2</t>
        </is>
      </c>
      <c r="R6" t="n">
        <v>0.04130849315068493</v>
      </c>
      <c r="S6" s="11">
        <f>R6*365</f>
        <v/>
      </c>
    </row>
    <row r="7">
      <c r="Q7" s="15" t="inlineStr">
        <is>
          <t>p3</t>
        </is>
      </c>
      <c r="R7" t="n">
        <v>0.01797041095890411</v>
      </c>
      <c r="S7" s="11">
        <f>R7*365</f>
        <v/>
      </c>
    </row>
    <row r="8">
      <c r="Q8" s="15" t="inlineStr">
        <is>
          <t>p4</t>
        </is>
      </c>
      <c r="R8" t="n">
        <v>0.01417013698630137</v>
      </c>
      <c r="S8" s="11">
        <f>R8*365</f>
        <v/>
      </c>
    </row>
    <row r="9" ht="16" customHeight="1" thickBot="1">
      <c r="Q9" s="15" t="inlineStr">
        <is>
          <t>p5</t>
        </is>
      </c>
      <c r="R9" t="n">
        <v>0.005295342465753425</v>
      </c>
      <c r="S9" s="11">
        <f>R9*365</f>
        <v/>
      </c>
    </row>
    <row r="10" ht="16" customHeight="1" thickBot="1">
      <c r="B10" s="26" t="inlineStr">
        <is>
          <t>ACTUAL:</t>
        </is>
      </c>
      <c r="J10" s="25" t="inlineStr">
        <is>
          <t>NUEVO:</t>
        </is>
      </c>
      <c r="Q10" s="8" t="inlineStr">
        <is>
          <t>p6</t>
        </is>
      </c>
      <c r="R10" s="7" t="n">
        <v>0.00250986301369863</v>
      </c>
      <c r="S10" s="5">
        <f>R10*365</f>
        <v/>
      </c>
    </row>
    <row r="11" ht="16" customHeight="1" thickBot="1">
      <c r="N11" s="54" t="n"/>
      <c r="Q11" s="41" t="inlineStr">
        <is>
          <t>TARIFA 6.1TD</t>
        </is>
      </c>
      <c r="R11" s="23" t="n"/>
      <c r="S11" s="22" t="n"/>
    </row>
    <row r="12">
      <c r="A12" t="inlineStr">
        <is>
          <t>p1</t>
        </is>
      </c>
      <c r="D12" s="42" t="n"/>
      <c r="E12" s="43" t="n"/>
      <c r="I12" t="inlineStr">
        <is>
          <t>p1</t>
        </is>
      </c>
      <c r="L12" s="42" t="n"/>
      <c r="M12" s="43" t="n"/>
      <c r="Q12" s="24" t="inlineStr">
        <is>
          <t>BOE 2026</t>
        </is>
      </c>
      <c r="R12" s="23" t="n"/>
      <c r="S12" s="22" t="n"/>
    </row>
    <row r="13">
      <c r="A13" t="inlineStr">
        <is>
          <t>p2</t>
        </is>
      </c>
      <c r="D13" s="42" t="n"/>
      <c r="E13" s="43" t="n"/>
      <c r="I13" t="inlineStr">
        <is>
          <t>p2</t>
        </is>
      </c>
      <c r="L13" s="42" t="n"/>
      <c r="M13" s="43" t="n"/>
      <c r="Q13" s="15" t="inlineStr">
        <is>
          <t>p1</t>
        </is>
      </c>
      <c r="R13" t="n">
        <v>0.08108320000000001</v>
      </c>
      <c r="S13" s="11" t="n">
        <v>29.595368</v>
      </c>
    </row>
    <row r="14">
      <c r="A14" t="inlineStr">
        <is>
          <t>p3</t>
        </is>
      </c>
      <c r="D14" s="42" t="n"/>
      <c r="E14" s="43" t="n"/>
      <c r="I14" t="inlineStr">
        <is>
          <t>p3</t>
        </is>
      </c>
      <c r="L14" s="42" t="n"/>
      <c r="M14" s="43" t="n"/>
      <c r="Q14" s="15" t="inlineStr">
        <is>
          <t>p2</t>
        </is>
      </c>
      <c r="R14" t="n">
        <v>0.04250605205479452</v>
      </c>
      <c r="S14" s="11" t="n">
        <v>15.514709</v>
      </c>
    </row>
    <row r="15">
      <c r="A15" t="inlineStr">
        <is>
          <t>p4</t>
        </is>
      </c>
      <c r="D15" s="42" t="n"/>
      <c r="E15" s="43" t="n"/>
      <c r="I15" t="inlineStr">
        <is>
          <t>p4</t>
        </is>
      </c>
      <c r="L15" s="42" t="n"/>
      <c r="M15" s="43" t="n"/>
      <c r="Q15" s="15" t="inlineStr">
        <is>
          <t>p3</t>
        </is>
      </c>
      <c r="R15" t="n">
        <v>0.0186352904109589</v>
      </c>
      <c r="S15" s="11" t="n">
        <v>6.801881</v>
      </c>
    </row>
    <row r="16">
      <c r="A16" t="inlineStr">
        <is>
          <t>p5</t>
        </is>
      </c>
      <c r="D16" s="42" t="n"/>
      <c r="E16" s="43" t="n"/>
      <c r="I16" t="inlineStr">
        <is>
          <t>p5</t>
        </is>
      </c>
      <c r="L16" s="42" t="n"/>
      <c r="M16" s="43" t="n"/>
      <c r="Q16" s="15" t="inlineStr">
        <is>
          <t>p4</t>
        </is>
      </c>
      <c r="R16" t="n">
        <v>0.01477761369863014</v>
      </c>
      <c r="S16" s="11" t="n">
        <v>5.393829</v>
      </c>
    </row>
    <row r="17" ht="16" customHeight="1" thickBot="1">
      <c r="A17" t="inlineStr">
        <is>
          <t>p6</t>
        </is>
      </c>
      <c r="D17" s="44" t="n"/>
      <c r="E17" s="43" t="n"/>
      <c r="I17" t="inlineStr">
        <is>
          <t>p6</t>
        </is>
      </c>
      <c r="L17" s="44" t="n"/>
      <c r="M17" s="45" t="n"/>
      <c r="Q17" s="15" t="inlineStr">
        <is>
          <t>p5</t>
        </is>
      </c>
      <c r="R17" t="n">
        <v>0.005822227397260273</v>
      </c>
      <c r="S17" s="11" t="n">
        <v>2.125113</v>
      </c>
    </row>
    <row r="18" ht="16" customHeight="1" thickBot="1">
      <c r="Q18" s="8" t="inlineStr">
        <is>
          <t>p6</t>
        </is>
      </c>
      <c r="R18" s="7" t="n">
        <v>0.002751180821917808</v>
      </c>
      <c r="S18" s="5" t="n">
        <v>1.004181</v>
      </c>
    </row>
    <row r="19" ht="16" customHeight="1" thickBot="1">
      <c r="E19" t="inlineStr">
        <is>
          <t>Suman:</t>
        </is>
      </c>
      <c r="F19" s="54" t="n"/>
      <c r="M19" t="inlineStr">
        <is>
          <t>Suman:</t>
        </is>
      </c>
      <c r="N19" s="54" t="n"/>
    </row>
    <row r="20" ht="16" customHeight="1" thickBot="1">
      <c r="Q20" s="29" t="inlineStr">
        <is>
          <t>TARIFA 3,0TD</t>
        </is>
      </c>
      <c r="R20" s="28" t="n"/>
      <c r="S20" s="27" t="n"/>
    </row>
    <row r="21">
      <c r="M21" s="54" t="n"/>
      <c r="N21" s="55" t="n"/>
      <c r="Q21" s="40" t="inlineStr">
        <is>
          <t>BOE 2025</t>
        </is>
      </c>
      <c r="R21" s="23" t="n"/>
      <c r="S21" s="22" t="n"/>
    </row>
    <row r="22">
      <c r="D22" s="49" t="n"/>
      <c r="I22" s="37" t="n"/>
      <c r="Q22" s="15" t="inlineStr">
        <is>
          <t>p1</t>
        </is>
      </c>
      <c r="R22" t="n">
        <v>0.0538588931506849</v>
      </c>
      <c r="S22" s="11">
        <f>R22*365</f>
        <v/>
      </c>
    </row>
    <row r="23" ht="17" customHeight="1" thickBot="1">
      <c r="H23" s="37" t="inlineStr">
        <is>
          <t>POTENCIA</t>
        </is>
      </c>
      <c r="I23" s="56">
        <f>F19-N19</f>
        <v/>
      </c>
      <c r="Q23" s="15" t="inlineStr">
        <is>
          <t>p2</t>
        </is>
      </c>
      <c r="R23" t="n">
        <v>0.02808671506849315</v>
      </c>
      <c r="S23" s="11">
        <f>R23*365</f>
        <v/>
      </c>
    </row>
    <row r="24" ht="25" customHeight="1" thickBot="1">
      <c r="H24" s="37" t="inlineStr">
        <is>
          <t>ENERGÍA</t>
        </is>
      </c>
      <c r="I24" s="57" t="n"/>
      <c r="K24" s="58" t="inlineStr">
        <is>
          <t>diferencia total:</t>
        </is>
      </c>
      <c r="L24" s="27" t="n"/>
      <c r="M24" s="32" t="n"/>
      <c r="N24" s="55" t="n"/>
      <c r="Q24" s="15" t="inlineStr">
        <is>
          <t>p3</t>
        </is>
      </c>
      <c r="R24" t="n">
        <v>0.01167818082191781</v>
      </c>
      <c r="S24" s="11">
        <f>R24*365</f>
        <v/>
      </c>
    </row>
    <row r="25" ht="28" customHeight="1" thickBot="1">
      <c r="H25" s="37" t="inlineStr">
        <is>
          <t>SSAA</t>
        </is>
      </c>
      <c r="I25" s="57" t="n"/>
      <c r="K25" s="59" t="n"/>
      <c r="L25" s="51" t="n"/>
      <c r="M25" s="32" t="n"/>
      <c r="N25" s="55" t="n"/>
      <c r="Q25" s="15" t="inlineStr">
        <is>
          <t>p4</t>
        </is>
      </c>
      <c r="R25" t="n">
        <v>0.01008644109589041</v>
      </c>
      <c r="S25" s="11">
        <f>R25*365</f>
        <v/>
      </c>
    </row>
    <row r="26" ht="16" customHeight="1">
      <c r="H26" t="inlineStr">
        <is>
          <t>EXCESOS POTENCIA</t>
        </is>
      </c>
      <c r="I26" s="60" t="n"/>
      <c r="M26" s="32" t="n"/>
      <c r="N26" s="55" t="n"/>
      <c r="Q26" s="15" t="inlineStr">
        <is>
          <t>p5</t>
        </is>
      </c>
      <c r="R26" t="n">
        <v>0.006378539726027398</v>
      </c>
      <c r="S26" s="11">
        <f>R26*365</f>
        <v/>
      </c>
    </row>
    <row r="27" ht="16" customHeight="1" thickBot="1">
      <c r="M27" s="32" t="n"/>
      <c r="N27" s="55" t="n"/>
      <c r="Q27" s="8" t="inlineStr">
        <is>
          <t>p6</t>
        </is>
      </c>
      <c r="R27" s="7" t="n">
        <v>0.00371614794520548</v>
      </c>
      <c r="S27" s="5">
        <f>R27*365</f>
        <v/>
      </c>
    </row>
    <row r="28" ht="16" customHeight="1" thickBot="1">
      <c r="I28" s="54" t="n"/>
      <c r="Q28" s="29" t="inlineStr">
        <is>
          <t>TARIFA 3,0TD</t>
        </is>
      </c>
      <c r="R28" s="28" t="n"/>
      <c r="S28" s="27" t="n"/>
    </row>
    <row r="29" ht="16" customHeight="1" thickBot="1">
      <c r="B29" s="26" t="inlineStr">
        <is>
          <t>ACTUAL:</t>
        </is>
      </c>
      <c r="C29" s="23" t="inlineStr">
        <is>
          <t>Por periodos:</t>
        </is>
      </c>
      <c r="D29" s="14" t="n"/>
      <c r="E29" s="23" t="n"/>
      <c r="F29" s="23" t="n"/>
      <c r="G29" s="22" t="n"/>
      <c r="H29" s="25" t="inlineStr">
        <is>
          <t>NUEVO:</t>
        </is>
      </c>
      <c r="I29" s="23" t="inlineStr">
        <is>
          <t>Por periodos:</t>
        </is>
      </c>
      <c r="J29" s="14" t="n"/>
      <c r="K29" s="23" t="n"/>
      <c r="L29" s="23" t="n"/>
      <c r="M29" s="22" t="n"/>
      <c r="Q29" s="24" t="inlineStr">
        <is>
          <t>BOE 2026</t>
        </is>
      </c>
      <c r="R29" s="23" t="n"/>
      <c r="S29" s="22" t="n"/>
    </row>
    <row r="30">
      <c r="B30" s="15" t="n"/>
      <c r="C30" s="19" t="n"/>
      <c r="D30" s="21" t="n"/>
      <c r="E30" s="19" t="n"/>
      <c r="G30" s="18" t="n"/>
      <c r="H30" s="15" t="n"/>
      <c r="I30" s="19" t="n"/>
      <c r="J30" s="21" t="n"/>
      <c r="K30" s="20" t="n"/>
      <c r="L30" s="19" t="n"/>
      <c r="M30" s="18" t="n"/>
      <c r="Q30" s="15" t="inlineStr">
        <is>
          <t>p1</t>
        </is>
      </c>
      <c r="R30" t="n">
        <v>0.055827197260274</v>
      </c>
      <c r="S30" s="11">
        <f>R30*365</f>
        <v/>
      </c>
    </row>
    <row r="31">
      <c r="B31" s="15" t="n"/>
      <c r="C31" s="19" t="n"/>
      <c r="D31" s="21" t="n"/>
      <c r="E31" s="19" t="n"/>
      <c r="G31" s="18" t="n"/>
      <c r="H31" s="15" t="n"/>
      <c r="I31" s="19" t="n"/>
      <c r="J31" s="21" t="n"/>
      <c r="K31" s="20" t="n"/>
      <c r="L31" s="19" t="n"/>
      <c r="M31" s="18" t="n"/>
      <c r="Q31" s="15" t="inlineStr">
        <is>
          <t>p2</t>
        </is>
      </c>
      <c r="R31" t="n">
        <v>0.02908937260273972</v>
      </c>
      <c r="S31" s="11">
        <f>R31*365</f>
        <v/>
      </c>
    </row>
    <row r="32">
      <c r="B32" s="15" t="n"/>
      <c r="C32" s="19" t="n"/>
      <c r="D32" s="21" t="n"/>
      <c r="E32" s="19" t="n"/>
      <c r="G32" s="18" t="n"/>
      <c r="H32" s="15" t="n"/>
      <c r="I32" s="19" t="n"/>
      <c r="J32" s="21" t="n"/>
      <c r="K32" s="20" t="n"/>
      <c r="L32" s="19" t="n"/>
      <c r="M32" s="18" t="n"/>
      <c r="Q32" s="15" t="inlineStr">
        <is>
          <t>p3</t>
        </is>
      </c>
      <c r="R32" t="n">
        <v>0.01227817534246575</v>
      </c>
      <c r="S32" s="11">
        <f>R32*365</f>
        <v/>
      </c>
    </row>
    <row r="33">
      <c r="B33" s="15" t="n"/>
      <c r="C33" s="19" t="n"/>
      <c r="D33" s="21" t="n"/>
      <c r="E33" s="19" t="n"/>
      <c r="G33" s="18" t="n"/>
      <c r="H33" s="15" t="n"/>
      <c r="I33" s="19" t="n"/>
      <c r="J33" s="21" t="n"/>
      <c r="K33" s="20" t="n"/>
      <c r="L33" s="19" t="n"/>
      <c r="M33" s="18" t="n"/>
      <c r="Q33" s="15" t="inlineStr">
        <is>
          <t>p4</t>
        </is>
      </c>
      <c r="R33" t="n">
        <v>0.01064748767123288</v>
      </c>
      <c r="S33" s="11">
        <f>R33*365</f>
        <v/>
      </c>
    </row>
    <row r="34">
      <c r="B34" s="15" t="n"/>
      <c r="C34" s="19" t="n"/>
      <c r="D34" s="21" t="n"/>
      <c r="E34" s="19" t="n"/>
      <c r="G34" s="18" t="n"/>
      <c r="H34" s="15" t="n"/>
      <c r="I34" s="19" t="n"/>
      <c r="J34" s="21" t="n"/>
      <c r="K34" s="20" t="n"/>
      <c r="L34" s="19" t="n"/>
      <c r="M34" s="18" t="n"/>
      <c r="Q34" s="15" t="inlineStr">
        <is>
          <t>p5</t>
        </is>
      </c>
      <c r="R34" t="n">
        <v>0.006887263013698629</v>
      </c>
      <c r="S34" s="11">
        <f>R34*365</f>
        <v/>
      </c>
    </row>
    <row r="35" ht="16" customHeight="1" thickBot="1">
      <c r="B35" s="15" t="n"/>
      <c r="C35" s="19" t="n"/>
      <c r="D35" s="21" t="n"/>
      <c r="E35" s="19" t="n"/>
      <c r="G35" s="18" t="n"/>
      <c r="H35" s="15" t="n"/>
      <c r="I35" s="19" t="n"/>
      <c r="J35" s="21" t="n"/>
      <c r="K35" s="20" t="n"/>
      <c r="L35" s="19" t="n"/>
      <c r="M35" s="18" t="n"/>
      <c r="Q35" s="8" t="inlineStr">
        <is>
          <t>p6</t>
        </is>
      </c>
      <c r="R35" s="7" t="n">
        <v>0.003951471232876713</v>
      </c>
      <c r="S35" s="5">
        <f>R35*365</f>
        <v/>
      </c>
    </row>
    <row r="36" ht="16" customHeight="1" thickBot="1">
      <c r="B36" s="15" t="n"/>
      <c r="G36" s="11" t="n"/>
      <c r="H36" s="15" t="n"/>
      <c r="M36" s="11" t="n"/>
    </row>
    <row r="37" ht="16" customHeight="1" thickBot="1">
      <c r="B37" s="15" t="n"/>
      <c r="D37" s="14" t="n"/>
      <c r="E37" s="61" t="n"/>
      <c r="F37" s="62" t="n"/>
      <c r="G37" s="16" t="n"/>
      <c r="H37" s="15" t="n"/>
      <c r="J37" s="14" t="n"/>
      <c r="K37" s="63" t="n"/>
      <c r="L37" s="62" t="n"/>
      <c r="M37" s="11" t="n"/>
    </row>
    <row r="38" ht="16" customHeight="1" thickBot="1">
      <c r="B38" s="8" t="n"/>
      <c r="C38" s="7" t="n"/>
      <c r="D38" s="6" t="n"/>
      <c r="E38" s="64" t="n"/>
      <c r="F38" s="65" t="n"/>
      <c r="G38" s="5" t="n"/>
      <c r="H38" s="8" t="n"/>
      <c r="I38" s="7" t="n"/>
      <c r="J38" s="6" t="n"/>
      <c r="K38" s="6" t="n"/>
      <c r="L38" s="6" t="n"/>
      <c r="M38" s="5" t="n"/>
    </row>
    <row r="39" ht="19" customHeight="1">
      <c r="G39" s="4" t="inlineStr">
        <is>
          <t>diferencia energía:</t>
        </is>
      </c>
      <c r="H39" s="3" t="n"/>
    </row>
    <row r="40" ht="20" customHeight="1" thickBot="1">
      <c r="G40" s="66" t="n"/>
      <c r="H40" s="67" t="n"/>
    </row>
  </sheetData>
  <mergeCells count="4">
    <mergeCell ref="B3:C3"/>
    <mergeCell ref="A1:E1"/>
    <mergeCell ref="A2:C2"/>
    <mergeCell ref="K24:L24"/>
  </mergeCells>
  <conditionalFormatting sqref="G30:G3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30:M3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/>
  <pageMargins left="0.3937007874015748" right="0.3937007874015748" top="0.3937007874015748" bottom="0.3937007874015748" header="0.3937007874015748" footer="0.3937007874015748"/>
  <pageSetup orientation="landscape" paperSize="9" scale="63"/>
  <rowBreaks count="1" manualBreakCount="1">
    <brk id="41" min="0" max="16383" man="1"/>
  </rowBreaks>
  <colBreaks count="1" manualBreakCount="1">
    <brk id="14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Jose García González</dc:creator>
  <dcterms:created xmlns:dcterms="http://purl.org/dc/terms/" xmlns:xsi="http://www.w3.org/2001/XMLSchema-instance" xsi:type="dcterms:W3CDTF">2026-03-31T15:12:53Z</dcterms:created>
  <dcterms:modified xmlns:dcterms="http://purl.org/dc/terms/" xmlns:xsi="http://www.w3.org/2001/XMLSchema-instance" xsi:type="dcterms:W3CDTF">2026-04-21T18:27:14Z</dcterms:modified>
  <cp:lastModifiedBy>Jose García González</cp:lastModifiedBy>
</cp:coreProperties>
</file>