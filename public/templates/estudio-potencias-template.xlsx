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l\Desktop\FACTURAS CLIENTES\FACTURAS JAVI\EL HUERTO COLEGIO\"/>
    </mc:Choice>
  </mc:AlternateContent>
  <xr:revisionPtr revIDLastSave="0" documentId="13_ncr:1_{2F8D2025-4033-4BE0-974D-DEB8E1207816}" xr6:coauthVersionLast="47" xr6:coauthVersionMax="47" xr10:uidLastSave="{00000000-0000-0000-0000-000000000000}"/>
  <bookViews>
    <workbookView xWindow="-110" yWindow="-110" windowWidth="25820" windowHeight="15500" xr2:uid="{CEE2A06A-DAD9-F74B-84E9-48E408FAC44F}"/>
  </bookViews>
  <sheets>
    <sheet name="{worksheet}" sheetId="1" r:id="rId1"/>
  </sheets>
  <definedNames>
    <definedName name="_xlnm.Print_Area" localSheetId="0">'{worksheet}'!$A$1:$P$55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M2" i="1"/>
  <c r="N2" i="1"/>
  <c r="O2" i="1"/>
  <c r="P2" i="1"/>
  <c r="E3" i="1"/>
  <c r="F3" i="1"/>
  <c r="G3" i="1"/>
  <c r="H3" i="1"/>
  <c r="I3" i="1"/>
  <c r="E2" i="1"/>
  <c r="F2" i="1"/>
  <c r="G2" i="1"/>
  <c r="C2" i="1" s="1"/>
  <c r="D3" i="1" s="1"/>
  <c r="H2" i="1"/>
  <c r="I2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K2" i="1"/>
  <c r="D2" i="1"/>
  <c r="A5" i="1"/>
</calcChain>
</file>

<file path=xl/sharedStrings.xml><?xml version="1.0" encoding="utf-8"?>
<sst xmlns="http://schemas.openxmlformats.org/spreadsheetml/2006/main" count="88" uniqueCount="54">
  <si>
    <t>CUPS</t>
  </si>
  <si>
    <t>P1 Activa</t>
  </si>
  <si>
    <t>P2 Activa</t>
  </si>
  <si>
    <t>P3 Activa</t>
  </si>
  <si>
    <t>P4 Activa</t>
  </si>
  <si>
    <t>P5 Activa</t>
  </si>
  <si>
    <t>P6 Activa</t>
  </si>
  <si>
    <t>P1 Maximetro</t>
  </si>
  <si>
    <t>P2 Maximetro</t>
  </si>
  <si>
    <t>P3 Maximetro</t>
  </si>
  <si>
    <t>P4 Maximetro</t>
  </si>
  <si>
    <t>P5 Maximetro</t>
  </si>
  <si>
    <t>P6 Maximetro</t>
  </si>
  <si>
    <t>ES0021000012858495MC</t>
  </si>
  <si>
    <t>2022-09-30T00:00:00</t>
  </si>
  <si>
    <t>2022-10-31T00:00:00</t>
  </si>
  <si>
    <t>2022-11-30T00:00:00</t>
  </si>
  <si>
    <t>2022-12-31T00:00:00</t>
  </si>
  <si>
    <t>2023-01-31T00:00:00</t>
  </si>
  <si>
    <t>2023-02-28T00:00:00</t>
  </si>
  <si>
    <t>2023-03-31T00:00:00</t>
  </si>
  <si>
    <t>2023-04-30T00:00:00</t>
  </si>
  <si>
    <t>2023-05-31T00:00:00</t>
  </si>
  <si>
    <t>2023-06-30T00:00:00</t>
  </si>
  <si>
    <t>2023-07-31T00:00:00</t>
  </si>
  <si>
    <t>2023-08-31T00:00:00</t>
  </si>
  <si>
    <t>2023-09-30T00:00:00</t>
  </si>
  <si>
    <t>2023-10-31T00:00:00</t>
  </si>
  <si>
    <t>2023-11-30T00:00:00</t>
  </si>
  <si>
    <t>2023-12-31T00:00:00</t>
  </si>
  <si>
    <t>2024-01-30T00:00:00</t>
  </si>
  <si>
    <t>2024-01-31T00:00:00</t>
  </si>
  <si>
    <t>2024-02-29T00:00:00</t>
  </si>
  <si>
    <t>2024-03-31T00:00:00</t>
  </si>
  <si>
    <t>2024-04-30T00:00:00</t>
  </si>
  <si>
    <t>2024-05-31T00:00:00</t>
  </si>
  <si>
    <t>2024-06-30T00:00:00</t>
  </si>
  <si>
    <t>2024-07-31T00:00:00</t>
  </si>
  <si>
    <t>2024-08-31T00:00:00</t>
  </si>
  <si>
    <t>2024-09-30T00:00:00</t>
  </si>
  <si>
    <t>2024-10-31T00:00:00</t>
  </si>
  <si>
    <t>2024-11-30T00:00:00</t>
  </si>
  <si>
    <t>2024-12-31T00:00:00</t>
  </si>
  <si>
    <t>2025-01-31T00:00:00</t>
  </si>
  <si>
    <t>2025-02-28T00:00:00</t>
  </si>
  <si>
    <t>2025-03-31T00:00:00</t>
  </si>
  <si>
    <t>2025-04-30T00:00:00</t>
  </si>
  <si>
    <t>2025-05-31T00:00:00</t>
  </si>
  <si>
    <t>2025-06-30T00:00:00</t>
  </si>
  <si>
    <t>2025-07-31T00:00:00</t>
  </si>
  <si>
    <t>CONSUMO TOTAL</t>
  </si>
  <si>
    <t>AJUSTAR POTENCIAS</t>
  </si>
  <si>
    <t>PRIORIZAR CONSUMO P6</t>
  </si>
  <si>
    <t>COLEGIO NUESTRA SEÑORA DEL HUERTO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</si>
</sst>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-0.249977111117893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4">
    <xf numFmtId="0" fontId="0" fillId="0" borderId="0" xfId="0"/>
    <xf numFmtId="0" fontId="19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0" fontId="19" fillId="0" borderId="10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wrapText="1"/>
    </xf>
    <xf numFmtId="10" fontId="16" fillId="0" borderId="13" xfId="1" applyNumberFormat="1" applyFont="1" applyBorder="1" applyAlignment="1">
      <alignment horizontal="center" vertical="center" wrapText="1"/>
    </xf>
    <xf numFmtId="0" fontId="18" fillId="0" borderId="16" xfId="0" applyFont="1" applyBorder="1" applyAlignment="1">
      <alignment wrapText="1"/>
    </xf>
    <xf numFmtId="0" fontId="0" fillId="0" borderId="17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10" xfId="0" applyBorder="1" applyAlignment="1">
      <alignment horizontal="center" vertical="center" wrapText="1"/>
    </xf>
    <xf numFmtId="0" fontId="18" fillId="0" borderId="11" xfId="0" applyFont="1" applyBorder="1" applyAlignment="1">
      <alignment wrapText="1"/>
    </xf>
    <xf numFmtId="0" fontId="18" fillId="0" borderId="12" xfId="0" applyFont="1" applyBorder="1" applyAlignment="1">
      <alignment wrapText="1"/>
    </xf>
    <xf numFmtId="0" fontId="18" fillId="0" borderId="10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8" fillId="0" borderId="15" xfId="0" applyFont="1" applyBorder="1" applyAlignment="1">
      <alignment wrapText="1"/>
    </xf>
    <xf numFmtId="0" fontId="18" fillId="0" borderId="14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8" fillId="0" borderId="17" xfId="0" applyFont="1" applyBorder="1" applyAlignment="1">
      <alignment wrapText="1"/>
    </xf>
    <xf numFmtId="0" fontId="18" fillId="0" borderId="18" xfId="0" applyFont="1" applyBorder="1" applyAlignment="1">
      <alignment wrapText="1"/>
    </xf>
    <xf numFmtId="0" fontId="18" fillId="0" borderId="16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16" fillId="34" borderId="13" xfId="0" applyFont="1" applyFill="1" applyBorder="1" applyAlignment="1">
      <alignment horizontal="center" vertical="center" wrapText="1"/>
    </xf>
    <xf numFmtId="0" fontId="16" fillId="35" borderId="13" xfId="0" applyFont="1" applyFill="1" applyBorder="1" applyAlignment="1">
      <alignment horizontal="center" vertical="center" wrapText="1"/>
    </xf>
    <xf numFmtId="0" fontId="16" fillId="36" borderId="13" xfId="0" applyFont="1" applyFill="1" applyBorder="1" applyAlignment="1">
      <alignment horizontal="center" vertical="center" wrapText="1"/>
    </xf>
    <xf numFmtId="0" fontId="22" fillId="0" borderId="14" xfId="0" applyFont="1" applyBorder="1" applyAlignment="1">
      <alignment horizontal="left" vertical="center"/>
    </xf>
    <xf numFmtId="0" fontId="18" fillId="0" borderId="14" xfId="0" applyFont="1" applyBorder="1"/>
    <xf numFmtId="0" fontId="20" fillId="33" borderId="10" xfId="0" applyFont="1" applyFill="1" applyBorder="1" applyAlignment="1">
      <alignment horizontal="center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2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10" fontId="21" fillId="0" borderId="19" xfId="1" applyNumberFormat="1" applyFont="1" applyBorder="1" applyAlignment="1">
      <alignment horizontal="center" vertical="center" wrapText="1"/>
    </xf>
    <xf numFmtId="10" fontId="21" fillId="0" borderId="20" xfId="1" applyNumberFormat="1" applyFont="1" applyBorder="1" applyAlignment="1">
      <alignment horizontal="center" vertical="center" wrapText="1"/>
    </xf>
    <xf numFmtId="10" fontId="21" fillId="0" borderId="21" xfId="1" applyNumberFormat="1" applyFont="1" applyBorder="1" applyAlignment="1">
      <alignment horizontal="center" vertical="center" wrapText="1"/>
    </xf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Neutral" xfId="9" builtinId="28" customBuiltin="1"/>
    <cellStyle name="Normal" xfId="0" builtinId="0"/>
    <cellStyle name="Notas" xfId="16" builtinId="10" customBuiltin="1"/>
    <cellStyle name="Porcentaje" xfId="1" builtinId="5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450995</xdr:colOff>
      <xdr:row>40</xdr:row>
      <xdr:rowOff>107763</xdr:rowOff>
    </xdr:from>
    <xdr:to>
      <xdr:col>16</xdr:col>
      <xdr:colOff>391</xdr:colOff>
      <xdr:row>54</xdr:row>
      <xdr:rowOff>107762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6D0C0F-4830-3347-8CD7-5AE424E8F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6642" y="8497234"/>
          <a:ext cx="3471455" cy="28238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56028</xdr:rowOff>
    </xdr:from>
    <xdr:to>
      <xdr:col>9</xdr:col>
      <xdr:colOff>56030</xdr:colOff>
      <xdr:row>54</xdr:row>
      <xdr:rowOff>83699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939C48-B74D-C3D1-7711-B81E39B6C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381999"/>
          <a:ext cx="7261412" cy="305325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00588-A84F-4640-B87D-C666FCC5FA72}">
  <sheetPr>
    <pageSetUpPr fitToPage="1"/>
  </sheetPr>
  <dimension ref="A1:P39"/>
  <sheetViews>
    <sheetView tabSelected="1" view="pageBreakPreview" topLeftCell="A29" zoomScale="85" zoomScaleNormal="100" zoomScaleSheetLayoutView="85" workbookViewId="0">
      <selection activeCell="J9" sqref="J9"/>
    </sheetView>
  </sheetViews>
  <sheetFormatPr baseColWidth="10" defaultColWidth="8.83203125" defaultRowHeight="16" x14ac:dyDescent="0.4"/>
  <cols>
    <col min="1" max="1" width="18.5" bestFit="1" customWidth="1"/>
    <col min="2" max="2" width="15.6640625" bestFit="1" customWidth="1"/>
    <col min="3" max="3" width="15.5" bestFit="1" customWidth="1"/>
    <col min="4" max="9" width="7.5" bestFit="1" customWidth="1"/>
    <col min="10" max="10" width="9.1640625" bestFit="1" customWidth="1"/>
    <col min="11" max="16" width="10.33203125" bestFit="1" customWidth="1"/>
  </cols>
  <sheetData>
    <row r="1" spans="1:16" ht="16.5" thickBot="1" x14ac:dyDescent="0.45">
      <c r="A1" s="4" t="s">
        <v>0</v>
      </c>
      <c r="B1" s="5"/>
      <c r="C1" s="28" t="s">
        <v>50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1"/>
      <c r="K1" s="6" t="s">
        <v>7</v>
      </c>
      <c r="L1" s="6" t="s">
        <v>8</v>
      </c>
      <c r="M1" s="6" t="s">
        <v>9</v>
      </c>
      <c r="N1" s="6" t="s">
        <v>10</v>
      </c>
      <c r="O1" s="6" t="s">
        <v>11</v>
      </c>
      <c r="P1" s="6" t="s">
        <v>12</v>
      </c>
    </row>
    <row r="2" spans="1:16" ht="16.5" thickBot="1" x14ac:dyDescent="0.45">
      <c r="A2" s="34" t="s">
        <v>13</v>
      </c>
      <c r="B2" s="2"/>
      <c r="C2" s="29">
        <f>SUM(D2:I2)</f>
        <v>423143</v>
      </c>
      <c r="D2" s="7">
        <f>SUM(D5:D39)</f>
        <v>59707</v>
      </c>
      <c r="E2" s="7">
        <f t="shared" ref="E2:I2" si="0">SUM(E5:E39)</f>
        <v>76639</v>
      </c>
      <c r="F2" s="7">
        <f t="shared" si="0"/>
        <v>48803</v>
      </c>
      <c r="G2" s="7">
        <f t="shared" si="0"/>
        <v>67367</v>
      </c>
      <c r="H2" s="7">
        <f t="shared" si="0"/>
        <v>31083</v>
      </c>
      <c r="I2" s="7">
        <f t="shared" si="0"/>
        <v>139544</v>
      </c>
      <c r="J2" s="2"/>
      <c r="K2" s="31">
        <f>MAX(K5:K39)</f>
        <v>90.512</v>
      </c>
      <c r="L2" s="30">
        <f t="shared" ref="L2:P2" si="1">MAX(L5:L39)</f>
        <v>85.64</v>
      </c>
      <c r="M2" s="32">
        <f t="shared" si="1"/>
        <v>75.552000000000007</v>
      </c>
      <c r="N2" s="30">
        <f t="shared" si="1"/>
        <v>80.355999999999995</v>
      </c>
      <c r="O2" s="30">
        <f t="shared" si="1"/>
        <v>74.784000000000006</v>
      </c>
      <c r="P2" s="30">
        <f t="shared" si="1"/>
        <v>62.636000000000003</v>
      </c>
    </row>
    <row r="3" spans="1:16" ht="18" customHeight="1" thickBot="1" x14ac:dyDescent="0.45">
      <c r="A3" s="33" t="s">
        <v>53</v>
      </c>
      <c r="B3" s="2"/>
      <c r="C3" s="8"/>
      <c r="D3" s="9">
        <f>D2/$C$2</f>
        <v>0.14110359854706328</v>
      </c>
      <c r="E3" s="9">
        <f t="shared" ref="E3:I3" si="2">E2/$C$2</f>
        <v>0.18111843986548282</v>
      </c>
      <c r="F3" s="9">
        <f t="shared" si="2"/>
        <v>0.11533453229759207</v>
      </c>
      <c r="G3" s="9">
        <f t="shared" si="2"/>
        <v>0.15920622579128096</v>
      </c>
      <c r="H3" s="9">
        <f t="shared" si="2"/>
        <v>7.3457436374937082E-2</v>
      </c>
      <c r="I3" s="9">
        <f t="shared" si="2"/>
        <v>0.32977976712364376</v>
      </c>
      <c r="J3" s="2"/>
      <c r="K3" s="35" t="s">
        <v>51</v>
      </c>
      <c r="L3" s="36"/>
      <c r="M3" s="36"/>
      <c r="N3" s="36"/>
      <c r="O3" s="36"/>
      <c r="P3" s="37"/>
    </row>
    <row r="4" spans="1:16" ht="17" customHeight="1" thickBot="1" x14ac:dyDescent="0.45">
      <c r="A4" s="10"/>
      <c r="B4" s="11"/>
      <c r="C4" s="12"/>
      <c r="D4" s="41" t="s">
        <v>52</v>
      </c>
      <c r="E4" s="42"/>
      <c r="F4" s="42"/>
      <c r="G4" s="42"/>
      <c r="H4" s="42"/>
      <c r="I4" s="43"/>
      <c r="J4" s="2"/>
      <c r="K4" s="38"/>
      <c r="L4" s="39"/>
      <c r="M4" s="39"/>
      <c r="N4" s="39"/>
      <c r="O4" s="39"/>
      <c r="P4" s="40"/>
    </row>
    <row r="5" spans="1:16" ht="16.5" thickBot="1" x14ac:dyDescent="0.45">
      <c r="A5" s="13">
        <f>SUM(D5:I5)</f>
        <v>13331</v>
      </c>
      <c r="B5" s="14" t="s">
        <v>14</v>
      </c>
      <c r="C5" s="15" t="s">
        <v>15</v>
      </c>
      <c r="D5" s="16">
        <v>0</v>
      </c>
      <c r="E5" s="17">
        <v>0</v>
      </c>
      <c r="F5" s="18">
        <v>0</v>
      </c>
      <c r="G5" s="17">
        <v>5852</v>
      </c>
      <c r="H5" s="18">
        <v>3216</v>
      </c>
      <c r="I5" s="17">
        <v>4263</v>
      </c>
      <c r="J5" s="3"/>
      <c r="K5" s="16">
        <v>0</v>
      </c>
      <c r="L5" s="17">
        <v>0</v>
      </c>
      <c r="M5" s="18">
        <v>0</v>
      </c>
      <c r="N5" s="17">
        <v>72.408000000000001</v>
      </c>
      <c r="O5" s="18">
        <v>60.567999999999998</v>
      </c>
      <c r="P5" s="17">
        <v>38.003999999999998</v>
      </c>
    </row>
    <row r="6" spans="1:16" ht="16.5" thickBot="1" x14ac:dyDescent="0.45">
      <c r="A6" s="13">
        <f t="shared" ref="A6:A39" si="3">SUM(D6:I6)</f>
        <v>15123</v>
      </c>
      <c r="B6" s="3" t="s">
        <v>15</v>
      </c>
      <c r="C6" s="19" t="s">
        <v>16</v>
      </c>
      <c r="D6" s="20">
        <v>0</v>
      </c>
      <c r="E6" s="21">
        <v>6948</v>
      </c>
      <c r="F6" s="22">
        <v>3819</v>
      </c>
      <c r="G6" s="21">
        <v>0</v>
      </c>
      <c r="H6" s="22">
        <v>0</v>
      </c>
      <c r="I6" s="21">
        <v>4356</v>
      </c>
      <c r="J6" s="3"/>
      <c r="K6" s="20">
        <v>0</v>
      </c>
      <c r="L6" s="21">
        <v>81.712000000000003</v>
      </c>
      <c r="M6" s="22">
        <v>66.632000000000005</v>
      </c>
      <c r="N6" s="21">
        <v>0</v>
      </c>
      <c r="O6" s="22">
        <v>0</v>
      </c>
      <c r="P6" s="21">
        <v>37.159999999999997</v>
      </c>
    </row>
    <row r="7" spans="1:16" ht="16.5" thickBot="1" x14ac:dyDescent="0.45">
      <c r="A7" s="13">
        <f t="shared" si="3"/>
        <v>12012</v>
      </c>
      <c r="B7" s="3" t="s">
        <v>16</v>
      </c>
      <c r="C7" s="19" t="s">
        <v>17</v>
      </c>
      <c r="D7" s="20">
        <v>4889</v>
      </c>
      <c r="E7" s="21">
        <v>2795</v>
      </c>
      <c r="F7" s="22">
        <v>0</v>
      </c>
      <c r="G7" s="21">
        <v>0</v>
      </c>
      <c r="H7" s="22">
        <v>0</v>
      </c>
      <c r="I7" s="21">
        <v>4328</v>
      </c>
      <c r="J7" s="3"/>
      <c r="K7" s="20">
        <v>77.924000000000007</v>
      </c>
      <c r="L7" s="21">
        <v>73.572000000000003</v>
      </c>
      <c r="M7" s="22">
        <v>0</v>
      </c>
      <c r="N7" s="21">
        <v>0</v>
      </c>
      <c r="O7" s="22">
        <v>0</v>
      </c>
      <c r="P7" s="21">
        <v>49.32</v>
      </c>
    </row>
    <row r="8" spans="1:16" ht="16.5" thickBot="1" x14ac:dyDescent="0.45">
      <c r="A8" s="13">
        <f t="shared" si="3"/>
        <v>14124</v>
      </c>
      <c r="B8" s="3" t="s">
        <v>17</v>
      </c>
      <c r="C8" s="19" t="s">
        <v>18</v>
      </c>
      <c r="D8" s="20">
        <v>6372</v>
      </c>
      <c r="E8" s="21">
        <v>3489</v>
      </c>
      <c r="F8" s="22">
        <v>0</v>
      </c>
      <c r="G8" s="21">
        <v>0</v>
      </c>
      <c r="H8" s="22">
        <v>0</v>
      </c>
      <c r="I8" s="21">
        <v>4263</v>
      </c>
      <c r="J8" s="3"/>
      <c r="K8" s="20">
        <v>85.835999999999999</v>
      </c>
      <c r="L8" s="21">
        <v>68.712000000000003</v>
      </c>
      <c r="M8" s="22">
        <v>0</v>
      </c>
      <c r="N8" s="21">
        <v>0</v>
      </c>
      <c r="O8" s="22">
        <v>0</v>
      </c>
      <c r="P8" s="21">
        <v>42.996000000000002</v>
      </c>
    </row>
    <row r="9" spans="1:16" ht="16.5" thickBot="1" x14ac:dyDescent="0.45">
      <c r="A9" s="13">
        <f t="shared" si="3"/>
        <v>14365</v>
      </c>
      <c r="B9" s="3" t="s">
        <v>18</v>
      </c>
      <c r="C9" s="19" t="s">
        <v>19</v>
      </c>
      <c r="D9" s="20">
        <v>6686</v>
      </c>
      <c r="E9" s="21">
        <v>3576</v>
      </c>
      <c r="F9" s="22">
        <v>0</v>
      </c>
      <c r="G9" s="21">
        <v>0</v>
      </c>
      <c r="H9" s="22">
        <v>0</v>
      </c>
      <c r="I9" s="21">
        <v>4103</v>
      </c>
      <c r="J9" s="3"/>
      <c r="K9" s="20">
        <v>83.1</v>
      </c>
      <c r="L9" s="21">
        <v>69.06</v>
      </c>
      <c r="M9" s="22">
        <v>0</v>
      </c>
      <c r="N9" s="21">
        <v>0</v>
      </c>
      <c r="O9" s="22">
        <v>0</v>
      </c>
      <c r="P9" s="21">
        <v>40.707999999999998</v>
      </c>
    </row>
    <row r="10" spans="1:16" ht="16.5" thickBot="1" x14ac:dyDescent="0.45">
      <c r="A10" s="13">
        <f t="shared" si="3"/>
        <v>15787</v>
      </c>
      <c r="B10" s="3" t="s">
        <v>19</v>
      </c>
      <c r="C10" s="19" t="s">
        <v>20</v>
      </c>
      <c r="D10" s="20">
        <v>0</v>
      </c>
      <c r="E10" s="21">
        <v>7469</v>
      </c>
      <c r="F10" s="22">
        <v>4005</v>
      </c>
      <c r="G10" s="21">
        <v>0</v>
      </c>
      <c r="H10" s="22">
        <v>0</v>
      </c>
      <c r="I10" s="21">
        <v>4313</v>
      </c>
      <c r="J10" s="3"/>
      <c r="K10" s="20">
        <v>0</v>
      </c>
      <c r="L10" s="21">
        <v>85.64</v>
      </c>
      <c r="M10" s="22">
        <v>75.552000000000007</v>
      </c>
      <c r="N10" s="21">
        <v>0</v>
      </c>
      <c r="O10" s="22">
        <v>0</v>
      </c>
      <c r="P10" s="21">
        <v>45.548000000000002</v>
      </c>
    </row>
    <row r="11" spans="1:16" ht="16.5" thickBot="1" x14ac:dyDescent="0.45">
      <c r="A11" s="13">
        <f t="shared" si="3"/>
        <v>10530</v>
      </c>
      <c r="B11" s="3" t="s">
        <v>20</v>
      </c>
      <c r="C11" s="19" t="s">
        <v>21</v>
      </c>
      <c r="D11" s="20">
        <v>0</v>
      </c>
      <c r="E11" s="21">
        <v>0</v>
      </c>
      <c r="F11" s="22">
        <v>0</v>
      </c>
      <c r="G11" s="21">
        <v>4326</v>
      </c>
      <c r="H11" s="22">
        <v>2418</v>
      </c>
      <c r="I11" s="21">
        <v>3786</v>
      </c>
      <c r="J11" s="3"/>
      <c r="K11" s="20">
        <v>0</v>
      </c>
      <c r="L11" s="21">
        <v>0</v>
      </c>
      <c r="M11" s="22">
        <v>0</v>
      </c>
      <c r="N11" s="21">
        <v>64.468000000000004</v>
      </c>
      <c r="O11" s="22">
        <v>52.66</v>
      </c>
      <c r="P11" s="21">
        <v>35.692</v>
      </c>
    </row>
    <row r="12" spans="1:16" ht="16.5" thickBot="1" x14ac:dyDescent="0.45">
      <c r="A12" s="13">
        <f t="shared" si="3"/>
        <v>14259</v>
      </c>
      <c r="B12" s="3" t="s">
        <v>21</v>
      </c>
      <c r="C12" s="19" t="s">
        <v>22</v>
      </c>
      <c r="D12" s="20">
        <v>0</v>
      </c>
      <c r="E12" s="21">
        <v>0</v>
      </c>
      <c r="F12" s="22">
        <v>0</v>
      </c>
      <c r="G12" s="21">
        <v>6466</v>
      </c>
      <c r="H12" s="22">
        <v>3702</v>
      </c>
      <c r="I12" s="21">
        <v>4091</v>
      </c>
      <c r="J12" s="3"/>
      <c r="K12" s="20">
        <v>0</v>
      </c>
      <c r="L12" s="21">
        <v>0</v>
      </c>
      <c r="M12" s="22">
        <v>0</v>
      </c>
      <c r="N12" s="21">
        <v>78.164000000000001</v>
      </c>
      <c r="O12" s="22">
        <v>63.311999999999998</v>
      </c>
      <c r="P12" s="21">
        <v>33.552</v>
      </c>
    </row>
    <row r="13" spans="1:16" ht="16.5" thickBot="1" x14ac:dyDescent="0.45">
      <c r="A13" s="13">
        <f t="shared" si="3"/>
        <v>9370</v>
      </c>
      <c r="B13" s="3" t="s">
        <v>22</v>
      </c>
      <c r="C13" s="19" t="s">
        <v>23</v>
      </c>
      <c r="D13" s="20">
        <v>0</v>
      </c>
      <c r="E13" s="21">
        <v>0</v>
      </c>
      <c r="F13" s="22">
        <v>4083</v>
      </c>
      <c r="G13" s="21">
        <v>2197</v>
      </c>
      <c r="H13" s="22">
        <v>0</v>
      </c>
      <c r="I13" s="21">
        <v>3090</v>
      </c>
      <c r="J13" s="3"/>
      <c r="K13" s="20">
        <v>0</v>
      </c>
      <c r="L13" s="21">
        <v>0</v>
      </c>
      <c r="M13" s="22">
        <v>74.328000000000003</v>
      </c>
      <c r="N13" s="21">
        <v>55.316000000000003</v>
      </c>
      <c r="O13" s="22">
        <v>0</v>
      </c>
      <c r="P13" s="21">
        <v>38.448</v>
      </c>
    </row>
    <row r="14" spans="1:16" ht="16.5" thickBot="1" x14ac:dyDescent="0.45">
      <c r="A14" s="13">
        <f t="shared" si="3"/>
        <v>4225</v>
      </c>
      <c r="B14" s="3" t="s">
        <v>23</v>
      </c>
      <c r="C14" s="19" t="s">
        <v>24</v>
      </c>
      <c r="D14" s="20">
        <v>1183</v>
      </c>
      <c r="E14" s="21">
        <v>810</v>
      </c>
      <c r="F14" s="22">
        <v>0</v>
      </c>
      <c r="G14" s="21">
        <v>0</v>
      </c>
      <c r="H14" s="22">
        <v>0</v>
      </c>
      <c r="I14" s="21">
        <v>2232</v>
      </c>
      <c r="J14" s="3"/>
      <c r="K14" s="20">
        <v>11.444000000000001</v>
      </c>
      <c r="L14" s="21">
        <v>9.968</v>
      </c>
      <c r="M14" s="22">
        <v>0</v>
      </c>
      <c r="N14" s="21">
        <v>0</v>
      </c>
      <c r="O14" s="22">
        <v>0</v>
      </c>
      <c r="P14" s="21">
        <v>23.864000000000001</v>
      </c>
    </row>
    <row r="15" spans="1:16" ht="16.5" thickBot="1" x14ac:dyDescent="0.45">
      <c r="A15" s="13">
        <f t="shared" si="3"/>
        <v>4917</v>
      </c>
      <c r="B15" s="3" t="s">
        <v>24</v>
      </c>
      <c r="C15" s="19" t="s">
        <v>25</v>
      </c>
      <c r="D15" s="20">
        <v>0</v>
      </c>
      <c r="E15" s="21">
        <v>0</v>
      </c>
      <c r="F15" s="22">
        <v>1568</v>
      </c>
      <c r="G15" s="21">
        <v>1002</v>
      </c>
      <c r="H15" s="22">
        <v>0</v>
      </c>
      <c r="I15" s="21">
        <v>2347</v>
      </c>
      <c r="J15" s="3"/>
      <c r="K15" s="20">
        <v>0</v>
      </c>
      <c r="L15" s="21">
        <v>0</v>
      </c>
      <c r="M15" s="22">
        <v>22.164000000000001</v>
      </c>
      <c r="N15" s="21">
        <v>19.456</v>
      </c>
      <c r="O15" s="22">
        <v>0</v>
      </c>
      <c r="P15" s="21">
        <v>18.748000000000001</v>
      </c>
    </row>
    <row r="16" spans="1:16" ht="16.5" thickBot="1" x14ac:dyDescent="0.45">
      <c r="A16" s="13">
        <f t="shared" si="3"/>
        <v>11950</v>
      </c>
      <c r="B16" s="3" t="s">
        <v>25</v>
      </c>
      <c r="C16" s="19" t="s">
        <v>26</v>
      </c>
      <c r="D16" s="20">
        <v>0</v>
      </c>
      <c r="E16" s="21">
        <v>0</v>
      </c>
      <c r="F16" s="22">
        <v>5191</v>
      </c>
      <c r="G16" s="21">
        <v>2678</v>
      </c>
      <c r="H16" s="22">
        <v>0</v>
      </c>
      <c r="I16" s="21">
        <v>4081</v>
      </c>
      <c r="J16" s="3"/>
      <c r="K16" s="20">
        <v>0</v>
      </c>
      <c r="L16" s="21">
        <v>0</v>
      </c>
      <c r="M16" s="22">
        <v>61.576000000000001</v>
      </c>
      <c r="N16" s="21">
        <v>52.628</v>
      </c>
      <c r="O16" s="22">
        <v>0</v>
      </c>
      <c r="P16" s="21">
        <v>38.840000000000003</v>
      </c>
    </row>
    <row r="17" spans="1:16" ht="16.5" thickBot="1" x14ac:dyDescent="0.45">
      <c r="A17" s="13">
        <f t="shared" si="3"/>
        <v>14307</v>
      </c>
      <c r="B17" s="3" t="s">
        <v>26</v>
      </c>
      <c r="C17" s="19" t="s">
        <v>27</v>
      </c>
      <c r="D17" s="20">
        <v>0</v>
      </c>
      <c r="E17" s="21">
        <v>0</v>
      </c>
      <c r="F17" s="22">
        <v>0</v>
      </c>
      <c r="G17" s="21">
        <v>6260</v>
      </c>
      <c r="H17" s="22">
        <v>3483</v>
      </c>
      <c r="I17" s="21">
        <v>4564</v>
      </c>
      <c r="J17" s="3"/>
      <c r="K17" s="20">
        <v>0</v>
      </c>
      <c r="L17" s="21">
        <v>0</v>
      </c>
      <c r="M17" s="22">
        <v>0</v>
      </c>
      <c r="N17" s="21">
        <v>67.471999999999994</v>
      </c>
      <c r="O17" s="22">
        <v>58.14</v>
      </c>
      <c r="P17" s="21">
        <v>37.671999999999997</v>
      </c>
    </row>
    <row r="18" spans="1:16" ht="16.5" thickBot="1" x14ac:dyDescent="0.45">
      <c r="A18" s="13">
        <f t="shared" si="3"/>
        <v>15824</v>
      </c>
      <c r="B18" s="3" t="s">
        <v>27</v>
      </c>
      <c r="C18" s="19" t="s">
        <v>28</v>
      </c>
      <c r="D18" s="20">
        <v>0</v>
      </c>
      <c r="E18" s="21">
        <v>6844</v>
      </c>
      <c r="F18" s="22">
        <v>4116</v>
      </c>
      <c r="G18" s="21">
        <v>0</v>
      </c>
      <c r="H18" s="22">
        <v>0</v>
      </c>
      <c r="I18" s="21">
        <v>4864</v>
      </c>
      <c r="J18" s="3"/>
      <c r="K18" s="20">
        <v>0</v>
      </c>
      <c r="L18" s="21">
        <v>69.34</v>
      </c>
      <c r="M18" s="22">
        <v>62.984000000000002</v>
      </c>
      <c r="N18" s="21">
        <v>0</v>
      </c>
      <c r="O18" s="22">
        <v>0</v>
      </c>
      <c r="P18" s="21">
        <v>42.752000000000002</v>
      </c>
    </row>
    <row r="19" spans="1:16" ht="16.5" thickBot="1" x14ac:dyDescent="0.45">
      <c r="A19" s="13">
        <f t="shared" si="3"/>
        <v>13079</v>
      </c>
      <c r="B19" s="3" t="s">
        <v>28</v>
      </c>
      <c r="C19" s="19" t="s">
        <v>29</v>
      </c>
      <c r="D19" s="20">
        <v>4896</v>
      </c>
      <c r="E19" s="21">
        <v>2923</v>
      </c>
      <c r="F19" s="22">
        <v>0</v>
      </c>
      <c r="G19" s="21">
        <v>0</v>
      </c>
      <c r="H19" s="22">
        <v>0</v>
      </c>
      <c r="I19" s="21">
        <v>5260</v>
      </c>
      <c r="J19" s="3"/>
      <c r="K19" s="20">
        <v>87.236000000000004</v>
      </c>
      <c r="L19" s="21">
        <v>70.087999999999994</v>
      </c>
      <c r="M19" s="22">
        <v>0</v>
      </c>
      <c r="N19" s="21">
        <v>0</v>
      </c>
      <c r="O19" s="22">
        <v>0</v>
      </c>
      <c r="P19" s="21">
        <v>40.828000000000003</v>
      </c>
    </row>
    <row r="20" spans="1:16" ht="16.5" thickBot="1" x14ac:dyDescent="0.45">
      <c r="A20" s="13">
        <f t="shared" si="3"/>
        <v>14468.03</v>
      </c>
      <c r="B20" s="3" t="s">
        <v>29</v>
      </c>
      <c r="C20" s="19" t="s">
        <v>30</v>
      </c>
      <c r="D20" s="20">
        <v>6439.36</v>
      </c>
      <c r="E20" s="21">
        <v>3885</v>
      </c>
      <c r="F20" s="22">
        <v>0</v>
      </c>
      <c r="G20" s="21">
        <v>0</v>
      </c>
      <c r="H20" s="22">
        <v>0</v>
      </c>
      <c r="I20" s="21">
        <v>4143.67</v>
      </c>
      <c r="J20" s="3"/>
      <c r="K20" s="20">
        <v>79.171999999999997</v>
      </c>
      <c r="L20" s="21">
        <v>73.92</v>
      </c>
      <c r="M20" s="22">
        <v>0</v>
      </c>
      <c r="N20" s="21">
        <v>0</v>
      </c>
      <c r="O20" s="22">
        <v>0</v>
      </c>
      <c r="P20" s="21">
        <v>31.303999999999998</v>
      </c>
    </row>
    <row r="21" spans="1:16" ht="16.5" thickBot="1" x14ac:dyDescent="0.45">
      <c r="A21" s="13">
        <f t="shared" si="3"/>
        <v>577.97</v>
      </c>
      <c r="B21" s="3" t="s">
        <v>30</v>
      </c>
      <c r="C21" s="19" t="s">
        <v>31</v>
      </c>
      <c r="D21" s="20">
        <v>306.64</v>
      </c>
      <c r="E21" s="21">
        <v>185</v>
      </c>
      <c r="F21" s="22">
        <v>0</v>
      </c>
      <c r="G21" s="21">
        <v>0</v>
      </c>
      <c r="H21" s="22">
        <v>0</v>
      </c>
      <c r="I21" s="21">
        <v>86.33</v>
      </c>
      <c r="J21" s="3"/>
      <c r="K21" s="20">
        <v>79.171999999999997</v>
      </c>
      <c r="L21" s="21">
        <v>73.92</v>
      </c>
      <c r="M21" s="22">
        <v>0</v>
      </c>
      <c r="N21" s="21">
        <v>0</v>
      </c>
      <c r="O21" s="22">
        <v>0</v>
      </c>
      <c r="P21" s="21">
        <v>31.303999999999998</v>
      </c>
    </row>
    <row r="22" spans="1:16" ht="16.5" thickBot="1" x14ac:dyDescent="0.45">
      <c r="A22" s="13">
        <f t="shared" si="3"/>
        <v>15184</v>
      </c>
      <c r="B22" s="3" t="s">
        <v>31</v>
      </c>
      <c r="C22" s="19" t="s">
        <v>32</v>
      </c>
      <c r="D22" s="20">
        <v>6898</v>
      </c>
      <c r="E22" s="21">
        <v>4076</v>
      </c>
      <c r="F22" s="22">
        <v>0</v>
      </c>
      <c r="G22" s="21">
        <v>0</v>
      </c>
      <c r="H22" s="22">
        <v>0</v>
      </c>
      <c r="I22" s="21">
        <v>4210</v>
      </c>
      <c r="J22" s="3"/>
      <c r="K22" s="20">
        <v>89.58</v>
      </c>
      <c r="L22" s="21">
        <v>74.207999999999998</v>
      </c>
      <c r="M22" s="22">
        <v>0</v>
      </c>
      <c r="N22" s="21">
        <v>0</v>
      </c>
      <c r="O22" s="22">
        <v>0</v>
      </c>
      <c r="P22" s="21">
        <v>42.823999999999998</v>
      </c>
    </row>
    <row r="23" spans="1:16" ht="16.5" thickBot="1" x14ac:dyDescent="0.45">
      <c r="A23" s="13">
        <f t="shared" si="3"/>
        <v>14666</v>
      </c>
      <c r="B23" s="3" t="s">
        <v>32</v>
      </c>
      <c r="C23" s="19" t="s">
        <v>33</v>
      </c>
      <c r="D23" s="20">
        <v>0</v>
      </c>
      <c r="E23" s="21">
        <v>6468</v>
      </c>
      <c r="F23" s="22">
        <v>3606</v>
      </c>
      <c r="G23" s="21">
        <v>0</v>
      </c>
      <c r="H23" s="22">
        <v>0</v>
      </c>
      <c r="I23" s="21">
        <v>4592</v>
      </c>
      <c r="J23" s="3"/>
      <c r="K23" s="20">
        <v>0</v>
      </c>
      <c r="L23" s="21">
        <v>82.135999999999996</v>
      </c>
      <c r="M23" s="22">
        <v>65.075999999999993</v>
      </c>
      <c r="N23" s="21">
        <v>0</v>
      </c>
      <c r="O23" s="22">
        <v>0</v>
      </c>
      <c r="P23" s="21">
        <v>42.152000000000001</v>
      </c>
    </row>
    <row r="24" spans="1:16" ht="16.5" thickBot="1" x14ac:dyDescent="0.45">
      <c r="A24" s="13">
        <f t="shared" si="3"/>
        <v>13750</v>
      </c>
      <c r="B24" s="3" t="s">
        <v>33</v>
      </c>
      <c r="C24" s="19" t="s">
        <v>34</v>
      </c>
      <c r="D24" s="20">
        <v>0</v>
      </c>
      <c r="E24" s="21">
        <v>0</v>
      </c>
      <c r="F24" s="22">
        <v>0</v>
      </c>
      <c r="G24" s="21">
        <v>6043</v>
      </c>
      <c r="H24" s="22">
        <v>3539</v>
      </c>
      <c r="I24" s="21">
        <v>4168</v>
      </c>
      <c r="J24" s="3"/>
      <c r="K24" s="20">
        <v>0</v>
      </c>
      <c r="L24" s="21">
        <v>0</v>
      </c>
      <c r="M24" s="22">
        <v>0</v>
      </c>
      <c r="N24" s="21">
        <v>80.355999999999995</v>
      </c>
      <c r="O24" s="22">
        <v>63.932000000000002</v>
      </c>
      <c r="P24" s="21">
        <v>37.44</v>
      </c>
    </row>
    <row r="25" spans="1:16" ht="16.5" thickBot="1" x14ac:dyDescent="0.45">
      <c r="A25" s="13">
        <f t="shared" si="3"/>
        <v>14776</v>
      </c>
      <c r="B25" s="3" t="s">
        <v>34</v>
      </c>
      <c r="C25" s="19" t="s">
        <v>35</v>
      </c>
      <c r="D25" s="20">
        <v>0</v>
      </c>
      <c r="E25" s="21">
        <v>0</v>
      </c>
      <c r="F25" s="22">
        <v>0</v>
      </c>
      <c r="G25" s="21">
        <v>6499</v>
      </c>
      <c r="H25" s="22">
        <v>3781</v>
      </c>
      <c r="I25" s="21">
        <v>4496</v>
      </c>
      <c r="J25" s="3"/>
      <c r="K25" s="20">
        <v>0</v>
      </c>
      <c r="L25" s="21">
        <v>0</v>
      </c>
      <c r="M25" s="22">
        <v>0</v>
      </c>
      <c r="N25" s="21">
        <v>71.260000000000005</v>
      </c>
      <c r="O25" s="22">
        <v>59.692</v>
      </c>
      <c r="P25" s="21">
        <v>47.052</v>
      </c>
    </row>
    <row r="26" spans="1:16" ht="16.5" thickBot="1" x14ac:dyDescent="0.45">
      <c r="A26" s="13">
        <f t="shared" si="3"/>
        <v>8858</v>
      </c>
      <c r="B26" s="3" t="s">
        <v>35</v>
      </c>
      <c r="C26" s="19" t="s">
        <v>36</v>
      </c>
      <c r="D26" s="20">
        <v>0</v>
      </c>
      <c r="E26" s="21">
        <v>0</v>
      </c>
      <c r="F26" s="22">
        <v>3720</v>
      </c>
      <c r="G26" s="21">
        <v>1940</v>
      </c>
      <c r="H26" s="22">
        <v>0</v>
      </c>
      <c r="I26" s="21">
        <v>3198</v>
      </c>
      <c r="J26" s="3"/>
      <c r="K26" s="20">
        <v>0</v>
      </c>
      <c r="L26" s="21">
        <v>0</v>
      </c>
      <c r="M26" s="22">
        <v>57.968000000000004</v>
      </c>
      <c r="N26" s="21">
        <v>48.271999999999998</v>
      </c>
      <c r="O26" s="22">
        <v>0</v>
      </c>
      <c r="P26" s="21">
        <v>28.731999999999999</v>
      </c>
    </row>
    <row r="27" spans="1:16" ht="16.5" thickBot="1" x14ac:dyDescent="0.45">
      <c r="A27" s="13">
        <f t="shared" si="3"/>
        <v>4344</v>
      </c>
      <c r="B27" s="3" t="s">
        <v>36</v>
      </c>
      <c r="C27" s="19" t="s">
        <v>37</v>
      </c>
      <c r="D27" s="20">
        <v>1329</v>
      </c>
      <c r="E27" s="21">
        <v>921</v>
      </c>
      <c r="F27" s="22">
        <v>0</v>
      </c>
      <c r="G27" s="21">
        <v>0</v>
      </c>
      <c r="H27" s="22">
        <v>0</v>
      </c>
      <c r="I27" s="21">
        <v>2094</v>
      </c>
      <c r="J27" s="3"/>
      <c r="K27" s="20">
        <v>25.068000000000001</v>
      </c>
      <c r="L27" s="21">
        <v>22.884</v>
      </c>
      <c r="M27" s="22">
        <v>0</v>
      </c>
      <c r="N27" s="21">
        <v>0</v>
      </c>
      <c r="O27" s="22">
        <v>0</v>
      </c>
      <c r="P27" s="21">
        <v>11.343999999999999</v>
      </c>
    </row>
    <row r="28" spans="1:16" ht="16.5" thickBot="1" x14ac:dyDescent="0.45">
      <c r="A28" s="13">
        <f t="shared" si="3"/>
        <v>4976</v>
      </c>
      <c r="B28" s="3" t="s">
        <v>37</v>
      </c>
      <c r="C28" s="19" t="s">
        <v>38</v>
      </c>
      <c r="D28" s="20">
        <v>0</v>
      </c>
      <c r="E28" s="21">
        <v>0</v>
      </c>
      <c r="F28" s="22">
        <v>1508</v>
      </c>
      <c r="G28" s="21">
        <v>963</v>
      </c>
      <c r="H28" s="22">
        <v>0</v>
      </c>
      <c r="I28" s="21">
        <v>2505</v>
      </c>
      <c r="J28" s="3"/>
      <c r="K28" s="20">
        <v>0</v>
      </c>
      <c r="L28" s="21">
        <v>0</v>
      </c>
      <c r="M28" s="22">
        <v>20.263999999999999</v>
      </c>
      <c r="N28" s="21">
        <v>18.5</v>
      </c>
      <c r="O28" s="22">
        <v>0</v>
      </c>
      <c r="P28" s="21">
        <v>28.888000000000002</v>
      </c>
    </row>
    <row r="29" spans="1:16" ht="16.5" thickBot="1" x14ac:dyDescent="0.45">
      <c r="A29" s="13">
        <f t="shared" si="3"/>
        <v>12034</v>
      </c>
      <c r="B29" s="3" t="s">
        <v>38</v>
      </c>
      <c r="C29" s="19" t="s">
        <v>39</v>
      </c>
      <c r="D29" s="20">
        <v>0</v>
      </c>
      <c r="E29" s="21">
        <v>0</v>
      </c>
      <c r="F29" s="22">
        <v>5397</v>
      </c>
      <c r="G29" s="21">
        <v>2702</v>
      </c>
      <c r="H29" s="22">
        <v>0</v>
      </c>
      <c r="I29" s="21">
        <v>3935</v>
      </c>
      <c r="J29" s="3"/>
      <c r="K29" s="20">
        <v>0</v>
      </c>
      <c r="L29" s="21">
        <v>0</v>
      </c>
      <c r="M29" s="22">
        <v>69.756</v>
      </c>
      <c r="N29" s="21">
        <v>56.655999999999999</v>
      </c>
      <c r="O29" s="22">
        <v>0</v>
      </c>
      <c r="P29" s="21">
        <v>39.328000000000003</v>
      </c>
    </row>
    <row r="30" spans="1:16" ht="16.5" thickBot="1" x14ac:dyDescent="0.45">
      <c r="A30" s="13">
        <f t="shared" si="3"/>
        <v>15994</v>
      </c>
      <c r="B30" s="3" t="s">
        <v>39</v>
      </c>
      <c r="C30" s="19" t="s">
        <v>40</v>
      </c>
      <c r="D30" s="20">
        <v>0</v>
      </c>
      <c r="E30" s="21">
        <v>0</v>
      </c>
      <c r="F30" s="22">
        <v>0</v>
      </c>
      <c r="G30" s="21">
        <v>7094</v>
      </c>
      <c r="H30" s="22">
        <v>4197</v>
      </c>
      <c r="I30" s="21">
        <v>4703</v>
      </c>
      <c r="J30" s="3"/>
      <c r="K30" s="20">
        <v>0</v>
      </c>
      <c r="L30" s="21">
        <v>0</v>
      </c>
      <c r="M30" s="22">
        <v>0</v>
      </c>
      <c r="N30" s="21">
        <v>74.296000000000006</v>
      </c>
      <c r="O30" s="22">
        <v>60.456000000000003</v>
      </c>
      <c r="P30" s="21">
        <v>62.636000000000003</v>
      </c>
    </row>
    <row r="31" spans="1:16" ht="16.5" thickBot="1" x14ac:dyDescent="0.45">
      <c r="A31" s="13">
        <f t="shared" si="3"/>
        <v>16080</v>
      </c>
      <c r="B31" s="3" t="s">
        <v>40</v>
      </c>
      <c r="C31" s="19" t="s">
        <v>41</v>
      </c>
      <c r="D31" s="20">
        <v>0</v>
      </c>
      <c r="E31" s="21">
        <v>6767</v>
      </c>
      <c r="F31" s="22">
        <v>3969</v>
      </c>
      <c r="G31" s="21">
        <v>0</v>
      </c>
      <c r="H31" s="22">
        <v>0</v>
      </c>
      <c r="I31" s="21">
        <v>5344</v>
      </c>
      <c r="J31" s="3"/>
      <c r="K31" s="20">
        <v>0</v>
      </c>
      <c r="L31" s="21">
        <v>70.048000000000002</v>
      </c>
      <c r="M31" s="22">
        <v>71.528000000000006</v>
      </c>
      <c r="N31" s="21">
        <v>0</v>
      </c>
      <c r="O31" s="22">
        <v>0</v>
      </c>
      <c r="P31" s="21">
        <v>43.631999999999998</v>
      </c>
    </row>
    <row r="32" spans="1:16" ht="16.5" thickBot="1" x14ac:dyDescent="0.45">
      <c r="A32" s="13">
        <f t="shared" si="3"/>
        <v>13355</v>
      </c>
      <c r="B32" s="3" t="s">
        <v>41</v>
      </c>
      <c r="C32" s="19" t="s">
        <v>42</v>
      </c>
      <c r="D32" s="20">
        <v>5164</v>
      </c>
      <c r="E32" s="21">
        <v>3132</v>
      </c>
      <c r="F32" s="22">
        <v>0</v>
      </c>
      <c r="G32" s="21">
        <v>0</v>
      </c>
      <c r="H32" s="22">
        <v>0</v>
      </c>
      <c r="I32" s="21">
        <v>5059</v>
      </c>
      <c r="J32" s="3"/>
      <c r="K32" s="20">
        <v>90.512</v>
      </c>
      <c r="L32" s="21">
        <v>72.248000000000005</v>
      </c>
      <c r="M32" s="22">
        <v>0</v>
      </c>
      <c r="N32" s="21">
        <v>0</v>
      </c>
      <c r="O32" s="22">
        <v>0</v>
      </c>
      <c r="P32" s="21">
        <v>37.04</v>
      </c>
    </row>
    <row r="33" spans="1:16" ht="16.5" thickBot="1" x14ac:dyDescent="0.45">
      <c r="A33" s="13">
        <f t="shared" si="3"/>
        <v>16428</v>
      </c>
      <c r="B33" s="3" t="s">
        <v>42</v>
      </c>
      <c r="C33" s="19" t="s">
        <v>43</v>
      </c>
      <c r="D33" s="20">
        <v>7029</v>
      </c>
      <c r="E33" s="21">
        <v>4204</v>
      </c>
      <c r="F33" s="22">
        <v>0</v>
      </c>
      <c r="G33" s="21">
        <v>0</v>
      </c>
      <c r="H33" s="22">
        <v>0</v>
      </c>
      <c r="I33" s="21">
        <v>5195</v>
      </c>
      <c r="J33" s="3"/>
      <c r="K33" s="20">
        <v>77.207999999999998</v>
      </c>
      <c r="L33" s="21">
        <v>75.688000000000002</v>
      </c>
      <c r="M33" s="22">
        <v>0</v>
      </c>
      <c r="N33" s="21">
        <v>0</v>
      </c>
      <c r="O33" s="22">
        <v>0</v>
      </c>
      <c r="P33" s="21">
        <v>47.423999999999999</v>
      </c>
    </row>
    <row r="34" spans="1:16" ht="16.5" thickBot="1" x14ac:dyDescent="0.45">
      <c r="A34" s="13">
        <f t="shared" si="3"/>
        <v>15801</v>
      </c>
      <c r="B34" s="3" t="s">
        <v>43</v>
      </c>
      <c r="C34" s="19" t="s">
        <v>44</v>
      </c>
      <c r="D34" s="20">
        <v>6894</v>
      </c>
      <c r="E34" s="21">
        <v>4068</v>
      </c>
      <c r="F34" s="22">
        <v>0</v>
      </c>
      <c r="G34" s="21">
        <v>0</v>
      </c>
      <c r="H34" s="22">
        <v>0</v>
      </c>
      <c r="I34" s="21">
        <v>4839</v>
      </c>
      <c r="J34" s="3"/>
      <c r="K34" s="20">
        <v>74.14</v>
      </c>
      <c r="L34" s="21">
        <v>79.031999999999996</v>
      </c>
      <c r="M34" s="22">
        <v>0</v>
      </c>
      <c r="N34" s="21">
        <v>0</v>
      </c>
      <c r="O34" s="22">
        <v>0</v>
      </c>
      <c r="P34" s="21">
        <v>54.915999999999997</v>
      </c>
    </row>
    <row r="35" spans="1:16" ht="16.5" thickBot="1" x14ac:dyDescent="0.45">
      <c r="A35" s="13">
        <f t="shared" si="3"/>
        <v>16729</v>
      </c>
      <c r="B35" s="3" t="s">
        <v>44</v>
      </c>
      <c r="C35" s="19" t="s">
        <v>45</v>
      </c>
      <c r="D35" s="20">
        <v>0</v>
      </c>
      <c r="E35" s="21">
        <v>6904</v>
      </c>
      <c r="F35" s="22">
        <v>4054</v>
      </c>
      <c r="G35" s="21">
        <v>0</v>
      </c>
      <c r="H35" s="22">
        <v>0</v>
      </c>
      <c r="I35" s="21">
        <v>5771</v>
      </c>
      <c r="J35" s="3"/>
      <c r="K35" s="20">
        <v>0</v>
      </c>
      <c r="L35" s="21">
        <v>75.5</v>
      </c>
      <c r="M35" s="22">
        <v>69.292000000000002</v>
      </c>
      <c r="N35" s="21">
        <v>0</v>
      </c>
      <c r="O35" s="22">
        <v>0</v>
      </c>
      <c r="P35" s="21">
        <v>53.136000000000003</v>
      </c>
    </row>
    <row r="36" spans="1:16" ht="16.5" thickBot="1" x14ac:dyDescent="0.45">
      <c r="A36" s="13">
        <f t="shared" si="3"/>
        <v>12237</v>
      </c>
      <c r="B36" s="3" t="s">
        <v>45</v>
      </c>
      <c r="C36" s="19" t="s">
        <v>46</v>
      </c>
      <c r="D36" s="20">
        <v>0</v>
      </c>
      <c r="E36" s="21">
        <v>0</v>
      </c>
      <c r="F36" s="22">
        <v>0</v>
      </c>
      <c r="G36" s="21">
        <v>5157</v>
      </c>
      <c r="H36" s="22">
        <v>3053</v>
      </c>
      <c r="I36" s="21">
        <v>4027</v>
      </c>
      <c r="J36" s="3"/>
      <c r="K36" s="20">
        <v>0</v>
      </c>
      <c r="L36" s="21">
        <v>0</v>
      </c>
      <c r="M36" s="22">
        <v>0</v>
      </c>
      <c r="N36" s="21">
        <v>69.043999999999997</v>
      </c>
      <c r="O36" s="22">
        <v>74.72</v>
      </c>
      <c r="P36" s="21">
        <v>50.475999999999999</v>
      </c>
    </row>
    <row r="37" spans="1:16" ht="16.5" thickBot="1" x14ac:dyDescent="0.45">
      <c r="A37" s="13">
        <f t="shared" si="3"/>
        <v>14746</v>
      </c>
      <c r="B37" s="3" t="s">
        <v>46</v>
      </c>
      <c r="C37" s="19" t="s">
        <v>47</v>
      </c>
      <c r="D37" s="20">
        <v>0</v>
      </c>
      <c r="E37" s="21">
        <v>0</v>
      </c>
      <c r="F37" s="22">
        <v>0</v>
      </c>
      <c r="G37" s="21">
        <v>6040</v>
      </c>
      <c r="H37" s="22">
        <v>3694</v>
      </c>
      <c r="I37" s="21">
        <v>5012</v>
      </c>
      <c r="J37" s="3"/>
      <c r="K37" s="20">
        <v>0</v>
      </c>
      <c r="L37" s="21">
        <v>0</v>
      </c>
      <c r="M37" s="22">
        <v>0</v>
      </c>
      <c r="N37" s="21">
        <v>67.048000000000002</v>
      </c>
      <c r="O37" s="22">
        <v>74.784000000000006</v>
      </c>
      <c r="P37" s="21">
        <v>42.008000000000003</v>
      </c>
    </row>
    <row r="38" spans="1:16" ht="16.5" thickBot="1" x14ac:dyDescent="0.45">
      <c r="A38" s="13">
        <f t="shared" si="3"/>
        <v>9398</v>
      </c>
      <c r="B38" s="3" t="s">
        <v>47</v>
      </c>
      <c r="C38" s="19" t="s">
        <v>48</v>
      </c>
      <c r="D38" s="20">
        <v>0</v>
      </c>
      <c r="E38" s="21">
        <v>0</v>
      </c>
      <c r="F38" s="22">
        <v>3767</v>
      </c>
      <c r="G38" s="21">
        <v>2148</v>
      </c>
      <c r="H38" s="22">
        <v>0</v>
      </c>
      <c r="I38" s="21">
        <v>3483</v>
      </c>
      <c r="J38" s="3"/>
      <c r="K38" s="20">
        <v>0</v>
      </c>
      <c r="L38" s="21">
        <v>0</v>
      </c>
      <c r="M38" s="22">
        <v>62.223999999999997</v>
      </c>
      <c r="N38" s="21">
        <v>57.488</v>
      </c>
      <c r="O38" s="22">
        <v>0</v>
      </c>
      <c r="P38" s="21">
        <v>25.916</v>
      </c>
    </row>
    <row r="39" spans="1:16" ht="16.5" thickBot="1" x14ac:dyDescent="0.45">
      <c r="A39" s="13">
        <f t="shared" si="3"/>
        <v>5538</v>
      </c>
      <c r="B39" s="23" t="s">
        <v>48</v>
      </c>
      <c r="C39" s="24" t="s">
        <v>49</v>
      </c>
      <c r="D39" s="25">
        <v>1621</v>
      </c>
      <c r="E39" s="26">
        <v>1175</v>
      </c>
      <c r="F39" s="27">
        <v>0</v>
      </c>
      <c r="G39" s="26">
        <v>0</v>
      </c>
      <c r="H39" s="27">
        <v>0</v>
      </c>
      <c r="I39" s="26">
        <v>2742</v>
      </c>
      <c r="J39" s="3"/>
      <c r="K39" s="25">
        <v>25.872</v>
      </c>
      <c r="L39" s="26">
        <v>27.251999999999999</v>
      </c>
      <c r="M39" s="27">
        <v>0</v>
      </c>
      <c r="N39" s="26">
        <v>0</v>
      </c>
      <c r="O39" s="27">
        <v>0</v>
      </c>
      <c r="P39" s="26">
        <v>12.5</v>
      </c>
    </row>
  </sheetData>
  <mergeCells count="2">
    <mergeCell ref="K3:P4"/>
    <mergeCell ref="D4:I4"/>
  </mergeCells>
  <conditionalFormatting sqref="A5:A3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3:I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:I39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5:P3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5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{worksheet}</vt:lpstr>
      <vt:lpstr>'{worksheet}'!Área_de_impresión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Imízcoz</dc:creator>
  <cp:lastModifiedBy>Nicolás Imízcoz</cp:lastModifiedBy>
  <cp:lastPrinted>2026-03-31T15:17:00Z</cp:lastPrinted>
  <dcterms:created xsi:type="dcterms:W3CDTF">2026-03-17T17:19:10Z</dcterms:created>
  <dcterms:modified xsi:type="dcterms:W3CDTF">2026-04-07T10:07:11Z</dcterms:modified>
</cp:coreProperties>
</file>